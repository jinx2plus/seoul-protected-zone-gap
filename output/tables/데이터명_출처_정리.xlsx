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ong Jin Park\Downloads\seoul\output\tables\"/>
    </mc:Choice>
  </mc:AlternateContent>
  <xr:revisionPtr revIDLastSave="0" documentId="13_ncr:1_{E4E43912-0C13-46E0-9ABE-E186800C7E72}" xr6:coauthVersionLast="36" xr6:coauthVersionMax="36" xr10:uidLastSave="{00000000-0000-0000-0000-000000000000}"/>
  <bookViews>
    <workbookView xWindow="0" yWindow="0" windowWidth="28800" windowHeight="10845" xr2:uid="{00000000-000D-0000-FFFF-FFFF00000000}"/>
  </bookViews>
  <sheets>
    <sheet name="데이터명_출처" sheetId="1" r:id="rId1"/>
    <sheet name="분석사용데이터" sheetId="2" r:id="rId2"/>
    <sheet name="요약" sheetId="3" r:id="rId3"/>
  </sheets>
  <definedNames>
    <definedName name="_xlnm._FilterDatabase" localSheetId="0" hidden="1">데이터명_출처!$B$1:$I$28</definedName>
    <definedName name="_xlnm._FilterDatabase" localSheetId="1" hidden="1">분석사용데이터!$A$1:$G$23</definedName>
    <definedName name="_xlnm._FilterDatabase" localSheetId="2" hidden="1">요약!$A$1:$C$14</definedName>
  </definedNames>
  <calcPr calcId="191029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3" i="1"/>
</calcChain>
</file>

<file path=xl/sharedStrings.xml><?xml version="1.0" encoding="utf-8"?>
<sst xmlns="http://schemas.openxmlformats.org/spreadsheetml/2006/main" count="415" uniqueCount="151">
  <si>
    <t>데이터명</t>
  </si>
  <si>
    <t>출처</t>
  </si>
  <si>
    <t>원파일명</t>
  </si>
  <si>
    <t>활용목적</t>
  </si>
  <si>
    <t>분석사용여부</t>
  </si>
  <si>
    <t>출처구분</t>
  </si>
  <si>
    <t>비고</t>
  </si>
  <si>
    <t>CCTV</t>
  </si>
  <si>
    <t>서울데이터허브 / 공공데이터포털 CCTV 표준데이터</t>
  </si>
  <si>
    <t>CCTV정보_서울특별시.csv</t>
  </si>
  <si>
    <t>사고권역 200m 내 방범·안심 CCTV 공급량 집계</t>
  </si>
  <si>
    <t>사용</t>
  </si>
  <si>
    <t>서울데이터허브</t>
  </si>
  <si>
    <t>설치목적구분, 카메라대수, WGS84 좌표 사용 가능</t>
  </si>
  <si>
    <t>과속방지턱/험프</t>
  </si>
  <si>
    <t>서울데이터허브 서울시 험프 관련 정보 / 공공데이터포털 전국과속방지턱표준데이터</t>
  </si>
  <si>
    <t>과속방지턱정보_서울특별시.csv</t>
  </si>
  <si>
    <t>사고권역 200m 내 속도저감시설 공급량 집계</t>
  </si>
  <si>
    <t>전국 파일보다 서울특별시 파일을 우선 사용. 더미 좌표는 bbox 필터로 제거</t>
  </si>
  <si>
    <t>교통사고다발지역</t>
  </si>
  <si>
    <t>한국도로교통공단 TAAS / 공공데이터포털 전국교통사고다발지역표준데이터</t>
  </si>
  <si>
    <t>전국교통사고다발지역표준데이터.csv</t>
  </si>
  <si>
    <t>스쿨존어린이·보행어린이·보행노인 사고다발권역, 사고심각도 산정</t>
  </si>
  <si>
    <t>공공데이터포털/TAAS</t>
  </si>
  <si>
    <t>서울시 허브만으로 사고다발 polygon 확보가 어려워 보완 사용</t>
  </si>
  <si>
    <t>노인·장애인보호구역</t>
  </si>
  <si>
    <t>서울데이터허브 우선 / 공공데이터포털 전국노인장애인보호구역표준데이터</t>
  </si>
  <si>
    <t>전국노인장애인보호구역표준데이터.csv</t>
  </si>
  <si>
    <t>고령자 보호구역 거리 및 보호공백 점수 산정</t>
  </si>
  <si>
    <t>서울데이터허브 우선, 공공데이터포털 보완</t>
  </si>
  <si>
    <t>현재 원파일은 전국 표준 CSV이며 서울 행만 필터링</t>
  </si>
  <si>
    <t>도로안전표지</t>
  </si>
  <si>
    <t>공공데이터포털 전국도로안전표지표준데이터</t>
  </si>
  <si>
    <t>전국도로안전표지표준데이터.csv</t>
  </si>
  <si>
    <t>사고권역 200m 내 주의·규제·지시 표지 공급량 집계</t>
  </si>
  <si>
    <t>공공데이터포털</t>
  </si>
  <si>
    <t>서울 필터 후 사용</t>
  </si>
  <si>
    <t>도시철도 역사정보</t>
  </si>
  <si>
    <t>공공데이터포털 전국도시철도역사정보표준데이터 / 서울교통 관련 공개자료</t>
  </si>
  <si>
    <t>전체_도시철도역사정보_20260228.xlsx</t>
  </si>
  <si>
    <t>역 접근형 위험, 사고권역 600m 내 지하철역 집계</t>
  </si>
  <si>
    <t>공공데이터포털/서울교통 보완</t>
  </si>
  <si>
    <t>역위도/역경도 사용, 서울 주소 필터</t>
  </si>
  <si>
    <t>마을회관 및 경로당</t>
  </si>
  <si>
    <t>서울데이터허브 서울시 경로당 정보 / 공공데이터포털 전국마을회관및경로당표준데이터</t>
  </si>
  <si>
    <t>전국마을회관및경로당표준데이터.csv</t>
  </si>
  <si>
    <t>고령자 생활거점, 사고권역 600m 내 고령자 생활시설 밀집도</t>
  </si>
  <si>
    <t>무인교통단속카메라</t>
  </si>
  <si>
    <t>공공데이터포털 전국무인교통단속카메라표준데이터</t>
  </si>
  <si>
    <t>전국무인교통단속카메라표준데이터.csv</t>
  </si>
  <si>
    <t>사고권역 300m 내 단속 인프라 공급량 집계</t>
  </si>
  <si>
    <t>버스정류소 위치정보</t>
  </si>
  <si>
    <t>서울데이터허브 서울시 버스정류소 위치정보</t>
  </si>
  <si>
    <t>서울시버스정류소위치정보(20260506).xlsx</t>
  </si>
  <si>
    <t>정류장 접근형 위험, 사고권역 300m 내 대중교통 접근점 집계</t>
  </si>
  <si>
    <t>X좌표/ Y좌표는 위경도 컬럼으로 처리</t>
  </si>
  <si>
    <t>병원</t>
  </si>
  <si>
    <t>서울데이터허브/지방행정 인허가 기반 병원 데이터</t>
  </si>
  <si>
    <t>건강_병원.csv</t>
  </si>
  <si>
    <t>고령자 병원형 위험, 사고권역 600m 내 의료시설 집계</t>
  </si>
  <si>
    <t>서울데이터허브/LOCALDATA</t>
  </si>
  <si>
    <t>영업 상태만 사용, 좌표정보(X/Y)는 EPSG:5174로 처리</t>
  </si>
  <si>
    <t>보안등</t>
  </si>
  <si>
    <t>공공데이터포털 전국보안등정보표준데이터 / 서울시 보안등 위치자료 보완 가능</t>
  </si>
  <si>
    <t>전국보안등정보표준데이터 (1).csv</t>
  </si>
  <si>
    <t>사고권역 200m 내 야간안전 인프라 공급량 집계</t>
  </si>
  <si>
    <t>좌표 누락 행은 자동 제외</t>
  </si>
  <si>
    <t>보행자우선도로</t>
  </si>
  <si>
    <t>공공데이터포털 전국보행자우선도로표준데이터</t>
  </si>
  <si>
    <t>전국보행자우선도로표준데이터.csv</t>
  </si>
  <si>
    <t>사고권역 300m 내 보행자우선도로 포함 여부 집계</t>
  </si>
  <si>
    <t>시작점·종료점으로 LineString 생성</t>
  </si>
  <si>
    <t>보행자전용도로</t>
  </si>
  <si>
    <t>공공데이터포털 전국보행자전용도로표준데이터</t>
  </si>
  <si>
    <t>전국보행자전용도로표준데이터.csv</t>
  </si>
  <si>
    <t>사고권역 300m 내 보행자전용도로 포함 여부 보조 집계</t>
  </si>
  <si>
    <t>서울 행정동 경계</t>
  </si>
  <si>
    <t>서울시/행정동 경계 공간데이터(현재 프로젝트 보유 GPKG)</t>
  </si>
  <si>
    <t>행정동_EPSG4326.gpkg</t>
  </si>
  <si>
    <t>행정동별 사고권역·시설부족·우선순위 집계 기준 경계</t>
  </si>
  <si>
    <t>서울시 공간경계</t>
  </si>
  <si>
    <t>파일명은 EPSG4326이며 노트북에서 EPSG:32652로 변환</t>
  </si>
  <si>
    <t>신호등</t>
  </si>
  <si>
    <t>서울데이터허브 보행등 위치자료 우선 / 공공데이터포털 전국신호등표준데이터</t>
  </si>
  <si>
    <t>전국신호등표준데이터.csv</t>
  </si>
  <si>
    <t>사고권역 200m 내 신호시설 공급량 집계</t>
  </si>
  <si>
    <t>약국</t>
  </si>
  <si>
    <t>서울데이터허브/지방행정 인허가 기반 약국 데이터</t>
  </si>
  <si>
    <t>건강_약국.csv</t>
  </si>
  <si>
    <t>고령자 의료·약국 생활동선, 사고권역 600m 내 약국 집계</t>
  </si>
  <si>
    <t>어린이보호구역</t>
  </si>
  <si>
    <t>서울데이터허브 우선 / 공공데이터포털 전국어린이보호구역표준데이터</t>
  </si>
  <si>
    <t>전국어린이보호구역표준데이터 (1).csv</t>
  </si>
  <si>
    <t>어린이 보호구역 거리, 0~100m/100~300m/300~600m 링 산정</t>
  </si>
  <si>
    <t>연령별 주민등록 인구</t>
  </si>
  <si>
    <t>행정안전부 주민등록 인구통계 / 서울데이터허브 연령별 인구 통계 보완 가능</t>
  </si>
  <si>
    <t>202604_202604_연령별인구현황_월간.csv</t>
  </si>
  <si>
    <t>행정동별 어린이·고령자 인구 노출도 proxy 산정</t>
  </si>
  <si>
    <t>행정안전부/서울데이터허브 보완</t>
  </si>
  <si>
    <t>어린이=0~9세+0.4*10~19세, 고령자=0.5*60~69세+70세 이상으로 근사</t>
  </si>
  <si>
    <t>의원/부속의료기관</t>
  </si>
  <si>
    <t>서울데이터허브/지방행정 인허가 기반 의원·부속의료기관 데이터</t>
  </si>
  <si>
    <t>건강_의원.csv; 건강_부속의료기관.csv</t>
  </si>
  <si>
    <t>코드상 clinic 패턴은 최신 매칭 파일 1개를 선택하므로 필요 시 병합 개선 가능</t>
  </si>
  <si>
    <t>일방통행도로</t>
  </si>
  <si>
    <t>공공데이터포털 전국일방통행도로표준데이터</t>
  </si>
  <si>
    <t>전국일방통행도로표준데이터.csv</t>
  </si>
  <si>
    <t>차량 흐름 구조 및 사고권역 300m 내 도로체계 보조 집계</t>
  </si>
  <si>
    <t>초등학교 통학구역</t>
  </si>
  <si>
    <t>교육부/한국교육시설안전원 초등학교통학구역 데이터</t>
  </si>
  <si>
    <t>초등학교통학구역.shp; 한국교육시설안전원_초등학교통학구역_20260320.csv</t>
  </si>
  <si>
    <t>어린이 생활권 및 사고권역 300m 내 통학구역 중첩 여부</t>
  </si>
  <si>
    <t>공공데이터/교육시설 공간데이터</t>
  </si>
  <si>
    <t>SHP는 EPSG:5186으로 읽은 뒤 EPSG:32652 변환</t>
  </si>
  <si>
    <t>횡단보도</t>
  </si>
  <si>
    <t>서울데이터허브 서울특별시 자치구 횡단보도 정보 / 공공데이터포털 전국횡단보도표준데이터</t>
  </si>
  <si>
    <t>전국횡단보도표준데이터.csv</t>
  </si>
  <si>
    <t>사고권역 200m 내 횡단시설 공급량 집계</t>
  </si>
  <si>
    <t>현재 원파일은 전국 표준 CSV이나 서울 데이터만 존재/필터링</t>
  </si>
  <si>
    <t>버스정류소 컬럼정의</t>
  </si>
  <si>
    <t>서울데이터허브 서울시 버스정류소 위치정보 메타데이터</t>
  </si>
  <si>
    <t>컬럼정의_서울시 버스정류소 위치정보.xlsx</t>
  </si>
  <si>
    <t>버스정류소 원천 컬럼 해석</t>
  </si>
  <si>
    <t>참고</t>
  </si>
  <si>
    <t>분석 입력은 아님</t>
  </si>
  <si>
    <t>교량 표준데이터</t>
  </si>
  <si>
    <t>국토교통부 전국교량표준데이터</t>
  </si>
  <si>
    <t>국토교통부_전국교량표준데이터_20241231.csv</t>
  </si>
  <si>
    <t>도로구조 보조 후보</t>
  </si>
  <si>
    <t>보유/미사용</t>
  </si>
  <si>
    <t>공공데이터포털/국토교통부</t>
  </si>
  <si>
    <t>계획서 핵심지표에는 미반영</t>
  </si>
  <si>
    <t>실시간도착 역정보</t>
  </si>
  <si>
    <t>서울데이터허브/서울교통 API 관련 역정보</t>
  </si>
  <si>
    <t>실시간도착_역정보(20260506).xlsx</t>
  </si>
  <si>
    <t>도시철도역 보조 메타데이터</t>
  </si>
  <si>
    <t>좌표가 없어 현재 공간분석에는 전체_도시철도역사정보 파일 사용</t>
  </si>
  <si>
    <t>주민등록 세대 및 인구 동별 통계</t>
  </si>
  <si>
    <t>서울데이터허브 주민등록 세대 및 인구 통계</t>
  </si>
  <si>
    <t>주민등록 세대 및 인구 (성별_연도별_동별) 통계.csv</t>
  </si>
  <si>
    <t>행정동 인구 보조지표</t>
  </si>
  <si>
    <t>현재 지수 산정에는 월간 연령별 인구 파일을 사용</t>
  </si>
  <si>
    <t>과속방지턱정보</t>
  </si>
  <si>
    <t>원천 폴더 보유 파일 - 출처 확인 필요</t>
  </si>
  <si>
    <t>과속방지턱정보.csv</t>
  </si>
  <si>
    <t>현재 분석 코드 직접 사용 여부 확인 필요</t>
  </si>
  <si>
    <t>보유/검토필요</t>
  </si>
  <si>
    <t>미확인</t>
  </si>
  <si>
    <t>자동 감사 행</t>
  </si>
  <si>
    <t>건수</t>
  </si>
  <si>
    <t>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</si>
</sst>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355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85" zoomScaleNormal="85" workbookViewId="0">
      <pane ySplit="1" topLeftCell="A8" activePane="bottomLeft" state="frozen"/>
      <selection pane="bottomLeft" activeCell="A2" sqref="A2:C28"/>
    </sheetView>
  </sheetViews>
  <sheetFormatPr defaultRowHeight="16.5" x14ac:dyDescent="0.3"/>
  <cols>
    <col min="1" max="1" width="9" style="3"/>
    <col min="2" max="3" width="24" customWidth="1"/>
    <col min="4" max="4" width="48" customWidth="1"/>
    <col min="5" max="5" width="44" customWidth="1"/>
    <col min="6" max="6" width="52" customWidth="1"/>
    <col min="7" max="7" width="14" customWidth="1"/>
    <col min="8" max="8" width="24" customWidth="1"/>
    <col min="9" max="9" width="48" customWidth="1"/>
  </cols>
  <sheetData>
    <row r="1" spans="1:9" x14ac:dyDescent="0.3">
      <c r="A1" s="3" t="s">
        <v>150</v>
      </c>
      <c r="B1" s="1" t="s">
        <v>0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s="3">
        <v>1</v>
      </c>
      <c r="B2" s="2" t="s">
        <v>7</v>
      </c>
      <c r="C2" s="2" t="s">
        <v>12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 ht="33" x14ac:dyDescent="0.3">
      <c r="A3" s="3">
        <f>A2+1</f>
        <v>2</v>
      </c>
      <c r="B3" s="2" t="s">
        <v>14</v>
      </c>
      <c r="C3" s="2" t="s">
        <v>12</v>
      </c>
      <c r="D3" s="2" t="s">
        <v>15</v>
      </c>
      <c r="E3" s="2" t="s">
        <v>16</v>
      </c>
      <c r="F3" s="2" t="s">
        <v>17</v>
      </c>
      <c r="G3" s="2" t="s">
        <v>11</v>
      </c>
      <c r="H3" s="2" t="s">
        <v>12</v>
      </c>
      <c r="I3" s="2" t="s">
        <v>18</v>
      </c>
    </row>
    <row r="4" spans="1:9" ht="33" x14ac:dyDescent="0.3">
      <c r="A4" s="3">
        <f t="shared" ref="A4:A28" si="0">A3+1</f>
        <v>3</v>
      </c>
      <c r="B4" s="2" t="s">
        <v>19</v>
      </c>
      <c r="C4" s="2" t="s">
        <v>23</v>
      </c>
      <c r="D4" s="2" t="s">
        <v>20</v>
      </c>
      <c r="E4" s="2" t="s">
        <v>21</v>
      </c>
      <c r="F4" s="2" t="s">
        <v>22</v>
      </c>
      <c r="G4" s="2" t="s">
        <v>11</v>
      </c>
      <c r="H4" s="2" t="s">
        <v>23</v>
      </c>
      <c r="I4" s="2" t="s">
        <v>24</v>
      </c>
    </row>
    <row r="5" spans="1:9" ht="33" x14ac:dyDescent="0.3">
      <c r="A5" s="3">
        <f t="shared" si="0"/>
        <v>4</v>
      </c>
      <c r="B5" s="2" t="s">
        <v>25</v>
      </c>
      <c r="C5" s="2" t="s">
        <v>29</v>
      </c>
      <c r="D5" s="2" t="s">
        <v>26</v>
      </c>
      <c r="E5" s="2" t="s">
        <v>27</v>
      </c>
      <c r="F5" s="2" t="s">
        <v>28</v>
      </c>
      <c r="G5" s="2" t="s">
        <v>11</v>
      </c>
      <c r="H5" s="2" t="s">
        <v>29</v>
      </c>
      <c r="I5" s="2" t="s">
        <v>30</v>
      </c>
    </row>
    <row r="6" spans="1:9" x14ac:dyDescent="0.3">
      <c r="A6" s="3">
        <f t="shared" si="0"/>
        <v>5</v>
      </c>
      <c r="B6" s="2" t="s">
        <v>31</v>
      </c>
      <c r="C6" s="2" t="s">
        <v>35</v>
      </c>
      <c r="D6" s="2" t="s">
        <v>32</v>
      </c>
      <c r="E6" s="2" t="s">
        <v>33</v>
      </c>
      <c r="F6" s="2" t="s">
        <v>34</v>
      </c>
      <c r="G6" s="2" t="s">
        <v>11</v>
      </c>
      <c r="H6" s="2" t="s">
        <v>35</v>
      </c>
      <c r="I6" s="2" t="s">
        <v>36</v>
      </c>
    </row>
    <row r="7" spans="1:9" ht="33" x14ac:dyDescent="0.3">
      <c r="A7" s="3">
        <f t="shared" si="0"/>
        <v>6</v>
      </c>
      <c r="B7" s="2" t="s">
        <v>37</v>
      </c>
      <c r="C7" s="2" t="s">
        <v>41</v>
      </c>
      <c r="D7" s="2" t="s">
        <v>38</v>
      </c>
      <c r="E7" s="2" t="s">
        <v>39</v>
      </c>
      <c r="F7" s="2" t="s">
        <v>40</v>
      </c>
      <c r="G7" s="2" t="s">
        <v>11</v>
      </c>
      <c r="H7" s="2" t="s">
        <v>41</v>
      </c>
      <c r="I7" s="2" t="s">
        <v>42</v>
      </c>
    </row>
    <row r="8" spans="1:9" ht="33" x14ac:dyDescent="0.3">
      <c r="A8" s="3">
        <f t="shared" si="0"/>
        <v>7</v>
      </c>
      <c r="B8" s="2" t="s">
        <v>43</v>
      </c>
      <c r="C8" s="2" t="s">
        <v>29</v>
      </c>
      <c r="D8" s="2" t="s">
        <v>44</v>
      </c>
      <c r="E8" s="2" t="s">
        <v>45</v>
      </c>
      <c r="F8" s="2" t="s">
        <v>46</v>
      </c>
      <c r="G8" s="2" t="s">
        <v>11</v>
      </c>
      <c r="H8" s="2" t="s">
        <v>29</v>
      </c>
      <c r="I8" s="2" t="s">
        <v>36</v>
      </c>
    </row>
    <row r="9" spans="1:9" x14ac:dyDescent="0.3">
      <c r="A9" s="3">
        <f t="shared" si="0"/>
        <v>8</v>
      </c>
      <c r="B9" s="2" t="s">
        <v>47</v>
      </c>
      <c r="C9" s="2" t="s">
        <v>35</v>
      </c>
      <c r="D9" s="2" t="s">
        <v>48</v>
      </c>
      <c r="E9" s="2" t="s">
        <v>49</v>
      </c>
      <c r="F9" s="2" t="s">
        <v>50</v>
      </c>
      <c r="G9" s="2" t="s">
        <v>11</v>
      </c>
      <c r="H9" s="2" t="s">
        <v>35</v>
      </c>
      <c r="I9" s="2" t="s">
        <v>36</v>
      </c>
    </row>
    <row r="10" spans="1:9" x14ac:dyDescent="0.3">
      <c r="A10" s="3">
        <f t="shared" si="0"/>
        <v>9</v>
      </c>
      <c r="B10" s="2" t="s">
        <v>51</v>
      </c>
      <c r="C10" s="2" t="s">
        <v>12</v>
      </c>
      <c r="D10" s="2" t="s">
        <v>52</v>
      </c>
      <c r="E10" s="2" t="s">
        <v>53</v>
      </c>
      <c r="F10" s="2" t="s">
        <v>54</v>
      </c>
      <c r="G10" s="2" t="s">
        <v>11</v>
      </c>
      <c r="H10" s="2" t="s">
        <v>12</v>
      </c>
      <c r="I10" s="2" t="s">
        <v>55</v>
      </c>
    </row>
    <row r="11" spans="1:9" ht="33" x14ac:dyDescent="0.3">
      <c r="A11" s="3">
        <f t="shared" si="0"/>
        <v>10</v>
      </c>
      <c r="B11" s="2" t="s">
        <v>56</v>
      </c>
      <c r="C11" s="2" t="s">
        <v>60</v>
      </c>
      <c r="D11" s="2" t="s">
        <v>57</v>
      </c>
      <c r="E11" s="2" t="s">
        <v>58</v>
      </c>
      <c r="F11" s="2" t="s">
        <v>59</v>
      </c>
      <c r="G11" s="2" t="s">
        <v>11</v>
      </c>
      <c r="H11" s="2" t="s">
        <v>60</v>
      </c>
      <c r="I11" s="2" t="s">
        <v>61</v>
      </c>
    </row>
    <row r="12" spans="1:9" ht="33" x14ac:dyDescent="0.3">
      <c r="A12" s="3">
        <f t="shared" si="0"/>
        <v>11</v>
      </c>
      <c r="B12" s="2" t="s">
        <v>62</v>
      </c>
      <c r="C12" s="2" t="s">
        <v>35</v>
      </c>
      <c r="D12" s="2" t="s">
        <v>63</v>
      </c>
      <c r="E12" s="2" t="s">
        <v>64</v>
      </c>
      <c r="F12" s="2" t="s">
        <v>65</v>
      </c>
      <c r="G12" s="2" t="s">
        <v>11</v>
      </c>
      <c r="H12" s="2" t="s">
        <v>35</v>
      </c>
      <c r="I12" s="2" t="s">
        <v>66</v>
      </c>
    </row>
    <row r="13" spans="1:9" x14ac:dyDescent="0.3">
      <c r="A13" s="3">
        <f t="shared" si="0"/>
        <v>12</v>
      </c>
      <c r="B13" s="2" t="s">
        <v>67</v>
      </c>
      <c r="C13" s="2" t="s">
        <v>35</v>
      </c>
      <c r="D13" s="2" t="s">
        <v>68</v>
      </c>
      <c r="E13" s="2" t="s">
        <v>69</v>
      </c>
      <c r="F13" s="2" t="s">
        <v>70</v>
      </c>
      <c r="G13" s="2" t="s">
        <v>11</v>
      </c>
      <c r="H13" s="2" t="s">
        <v>35</v>
      </c>
      <c r="I13" s="2" t="s">
        <v>71</v>
      </c>
    </row>
    <row r="14" spans="1:9" x14ac:dyDescent="0.3">
      <c r="A14" s="3">
        <f t="shared" si="0"/>
        <v>13</v>
      </c>
      <c r="B14" s="2" t="s">
        <v>72</v>
      </c>
      <c r="C14" s="2" t="s">
        <v>35</v>
      </c>
      <c r="D14" s="2" t="s">
        <v>73</v>
      </c>
      <c r="E14" s="2" t="s">
        <v>74</v>
      </c>
      <c r="F14" s="2" t="s">
        <v>75</v>
      </c>
      <c r="G14" s="2" t="s">
        <v>11</v>
      </c>
      <c r="H14" s="2" t="s">
        <v>35</v>
      </c>
      <c r="I14" s="2" t="s">
        <v>71</v>
      </c>
    </row>
    <row r="15" spans="1:9" ht="33" x14ac:dyDescent="0.3">
      <c r="A15" s="3">
        <f t="shared" si="0"/>
        <v>14</v>
      </c>
      <c r="B15" s="2" t="s">
        <v>76</v>
      </c>
      <c r="C15" s="2" t="s">
        <v>80</v>
      </c>
      <c r="D15" s="2" t="s">
        <v>77</v>
      </c>
      <c r="E15" s="2" t="s">
        <v>78</v>
      </c>
      <c r="F15" s="2" t="s">
        <v>79</v>
      </c>
      <c r="G15" s="2" t="s">
        <v>11</v>
      </c>
      <c r="H15" s="2" t="s">
        <v>80</v>
      </c>
      <c r="I15" s="2" t="s">
        <v>81</v>
      </c>
    </row>
    <row r="16" spans="1:9" ht="33" x14ac:dyDescent="0.3">
      <c r="A16" s="3">
        <f t="shared" si="0"/>
        <v>15</v>
      </c>
      <c r="B16" s="2" t="s">
        <v>82</v>
      </c>
      <c r="C16" s="2" t="s">
        <v>29</v>
      </c>
      <c r="D16" s="2" t="s">
        <v>83</v>
      </c>
      <c r="E16" s="2" t="s">
        <v>84</v>
      </c>
      <c r="F16" s="2" t="s">
        <v>85</v>
      </c>
      <c r="G16" s="2" t="s">
        <v>11</v>
      </c>
      <c r="H16" s="2" t="s">
        <v>29</v>
      </c>
      <c r="I16" s="2" t="s">
        <v>36</v>
      </c>
    </row>
    <row r="17" spans="1:9" ht="33" x14ac:dyDescent="0.3">
      <c r="A17" s="3">
        <f t="shared" si="0"/>
        <v>16</v>
      </c>
      <c r="B17" s="2" t="s">
        <v>86</v>
      </c>
      <c r="C17" s="2" t="s">
        <v>60</v>
      </c>
      <c r="D17" s="2" t="s">
        <v>87</v>
      </c>
      <c r="E17" s="2" t="s">
        <v>88</v>
      </c>
      <c r="F17" s="2" t="s">
        <v>89</v>
      </c>
      <c r="G17" s="2" t="s">
        <v>11</v>
      </c>
      <c r="H17" s="2" t="s">
        <v>60</v>
      </c>
      <c r="I17" s="2" t="s">
        <v>61</v>
      </c>
    </row>
    <row r="18" spans="1:9" ht="33" x14ac:dyDescent="0.3">
      <c r="A18" s="3">
        <f t="shared" si="0"/>
        <v>17</v>
      </c>
      <c r="B18" s="2" t="s">
        <v>90</v>
      </c>
      <c r="C18" s="2" t="s">
        <v>29</v>
      </c>
      <c r="D18" s="2" t="s">
        <v>91</v>
      </c>
      <c r="E18" s="2" t="s">
        <v>92</v>
      </c>
      <c r="F18" s="2" t="s">
        <v>93</v>
      </c>
      <c r="G18" s="2" t="s">
        <v>11</v>
      </c>
      <c r="H18" s="2" t="s">
        <v>29</v>
      </c>
      <c r="I18" s="2" t="s">
        <v>30</v>
      </c>
    </row>
    <row r="19" spans="1:9" ht="33" x14ac:dyDescent="0.3">
      <c r="A19" s="3">
        <f t="shared" si="0"/>
        <v>18</v>
      </c>
      <c r="B19" s="2" t="s">
        <v>94</v>
      </c>
      <c r="C19" s="2" t="s">
        <v>98</v>
      </c>
      <c r="D19" s="2" t="s">
        <v>95</v>
      </c>
      <c r="E19" s="2" t="s">
        <v>96</v>
      </c>
      <c r="F19" s="2" t="s">
        <v>97</v>
      </c>
      <c r="G19" s="2" t="s">
        <v>11</v>
      </c>
      <c r="H19" s="2" t="s">
        <v>98</v>
      </c>
      <c r="I19" s="2" t="s">
        <v>99</v>
      </c>
    </row>
    <row r="20" spans="1:9" ht="33" x14ac:dyDescent="0.3">
      <c r="A20" s="3">
        <f t="shared" si="0"/>
        <v>19</v>
      </c>
      <c r="B20" s="2" t="s">
        <v>100</v>
      </c>
      <c r="C20" s="2" t="s">
        <v>60</v>
      </c>
      <c r="D20" s="2" t="s">
        <v>101</v>
      </c>
      <c r="E20" s="2" t="s">
        <v>102</v>
      </c>
      <c r="F20" s="2" t="s">
        <v>59</v>
      </c>
      <c r="G20" s="2" t="s">
        <v>11</v>
      </c>
      <c r="H20" s="2" t="s">
        <v>60</v>
      </c>
      <c r="I20" s="2" t="s">
        <v>103</v>
      </c>
    </row>
    <row r="21" spans="1:9" x14ac:dyDescent="0.3">
      <c r="A21" s="3">
        <f t="shared" si="0"/>
        <v>20</v>
      </c>
      <c r="B21" s="2" t="s">
        <v>104</v>
      </c>
      <c r="C21" s="2" t="s">
        <v>35</v>
      </c>
      <c r="D21" s="2" t="s">
        <v>105</v>
      </c>
      <c r="E21" s="2" t="s">
        <v>106</v>
      </c>
      <c r="F21" s="2" t="s">
        <v>107</v>
      </c>
      <c r="G21" s="2" t="s">
        <v>11</v>
      </c>
      <c r="H21" s="2" t="s">
        <v>35</v>
      </c>
      <c r="I21" s="2" t="s">
        <v>71</v>
      </c>
    </row>
    <row r="22" spans="1:9" ht="33" x14ac:dyDescent="0.3">
      <c r="A22" s="3">
        <f t="shared" si="0"/>
        <v>21</v>
      </c>
      <c r="B22" s="2" t="s">
        <v>108</v>
      </c>
      <c r="C22" s="2" t="s">
        <v>112</v>
      </c>
      <c r="D22" s="2" t="s">
        <v>109</v>
      </c>
      <c r="E22" s="2" t="s">
        <v>110</v>
      </c>
      <c r="F22" s="2" t="s">
        <v>111</v>
      </c>
      <c r="G22" s="2" t="s">
        <v>11</v>
      </c>
      <c r="H22" s="2" t="s">
        <v>112</v>
      </c>
      <c r="I22" s="2" t="s">
        <v>113</v>
      </c>
    </row>
    <row r="23" spans="1:9" ht="33" x14ac:dyDescent="0.3">
      <c r="A23" s="3">
        <f t="shared" si="0"/>
        <v>22</v>
      </c>
      <c r="B23" s="2" t="s">
        <v>114</v>
      </c>
      <c r="C23" s="2" t="s">
        <v>29</v>
      </c>
      <c r="D23" s="2" t="s">
        <v>115</v>
      </c>
      <c r="E23" s="2" t="s">
        <v>116</v>
      </c>
      <c r="F23" s="2" t="s">
        <v>117</v>
      </c>
      <c r="G23" s="2" t="s">
        <v>11</v>
      </c>
      <c r="H23" s="2" t="s">
        <v>29</v>
      </c>
      <c r="I23" s="2" t="s">
        <v>118</v>
      </c>
    </row>
    <row r="24" spans="1:9" ht="33" x14ac:dyDescent="0.3">
      <c r="A24" s="3">
        <f t="shared" si="0"/>
        <v>23</v>
      </c>
      <c r="B24" s="2" t="s">
        <v>119</v>
      </c>
      <c r="C24" s="2" t="s">
        <v>12</v>
      </c>
      <c r="D24" s="2" t="s">
        <v>120</v>
      </c>
      <c r="E24" s="2" t="s">
        <v>121</v>
      </c>
      <c r="F24" s="2" t="s">
        <v>122</v>
      </c>
      <c r="G24" s="2" t="s">
        <v>123</v>
      </c>
      <c r="H24" s="2" t="s">
        <v>12</v>
      </c>
      <c r="I24" s="2" t="s">
        <v>124</v>
      </c>
    </row>
    <row r="25" spans="1:9" x14ac:dyDescent="0.3">
      <c r="A25" s="3">
        <f t="shared" si="0"/>
        <v>24</v>
      </c>
      <c r="B25" s="2" t="s">
        <v>125</v>
      </c>
      <c r="C25" s="2" t="s">
        <v>130</v>
      </c>
      <c r="D25" s="2" t="s">
        <v>126</v>
      </c>
      <c r="E25" s="2" t="s">
        <v>127</v>
      </c>
      <c r="F25" s="2" t="s">
        <v>128</v>
      </c>
      <c r="G25" s="2" t="s">
        <v>129</v>
      </c>
      <c r="H25" s="2" t="s">
        <v>130</v>
      </c>
      <c r="I25" s="2" t="s">
        <v>131</v>
      </c>
    </row>
    <row r="26" spans="1:9" ht="33" x14ac:dyDescent="0.3">
      <c r="A26" s="3">
        <f t="shared" si="0"/>
        <v>25</v>
      </c>
      <c r="B26" s="2" t="s">
        <v>132</v>
      </c>
      <c r="C26" s="2" t="s">
        <v>12</v>
      </c>
      <c r="D26" s="2" t="s">
        <v>133</v>
      </c>
      <c r="E26" s="2" t="s">
        <v>134</v>
      </c>
      <c r="F26" s="2" t="s">
        <v>135</v>
      </c>
      <c r="G26" s="2" t="s">
        <v>129</v>
      </c>
      <c r="H26" s="2" t="s">
        <v>12</v>
      </c>
      <c r="I26" s="2" t="s">
        <v>136</v>
      </c>
    </row>
    <row r="27" spans="1:9" ht="33" x14ac:dyDescent="0.3">
      <c r="A27" s="3">
        <f t="shared" si="0"/>
        <v>26</v>
      </c>
      <c r="B27" s="2" t="s">
        <v>137</v>
      </c>
      <c r="C27" s="2" t="s">
        <v>12</v>
      </c>
      <c r="D27" s="2" t="s">
        <v>138</v>
      </c>
      <c r="E27" s="2" t="s">
        <v>139</v>
      </c>
      <c r="F27" s="2" t="s">
        <v>140</v>
      </c>
      <c r="G27" s="2" t="s">
        <v>129</v>
      </c>
      <c r="H27" s="2" t="s">
        <v>12</v>
      </c>
      <c r="I27" s="2" t="s">
        <v>141</v>
      </c>
    </row>
    <row r="28" spans="1:9" x14ac:dyDescent="0.3">
      <c r="A28" s="3">
        <f t="shared" si="0"/>
        <v>27</v>
      </c>
      <c r="B28" s="2" t="s">
        <v>142</v>
      </c>
      <c r="C28" s="2" t="s">
        <v>147</v>
      </c>
      <c r="D28" s="2" t="s">
        <v>143</v>
      </c>
      <c r="E28" s="2" t="s">
        <v>144</v>
      </c>
      <c r="F28" s="2" t="s">
        <v>145</v>
      </c>
      <c r="G28" s="2" t="s">
        <v>146</v>
      </c>
      <c r="H28" s="2" t="s">
        <v>147</v>
      </c>
      <c r="I28" s="2" t="s">
        <v>148</v>
      </c>
    </row>
  </sheetData>
  <autoFilter ref="B1:I28" xr:uid="{00000000-0009-0000-0000-000000000000}"/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4" customWidth="1"/>
    <col min="2" max="2" width="48" customWidth="1"/>
    <col min="3" max="3" width="44" customWidth="1"/>
    <col min="4" max="4" width="52" customWidth="1"/>
    <col min="5" max="5" width="14" customWidth="1"/>
    <col min="6" max="6" width="24" customWidth="1"/>
    <col min="7" max="7" width="4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3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18</v>
      </c>
    </row>
    <row r="4" spans="1:7" ht="33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11</v>
      </c>
      <c r="F4" s="2" t="s">
        <v>23</v>
      </c>
      <c r="G4" s="2" t="s">
        <v>24</v>
      </c>
    </row>
    <row r="5" spans="1:7" ht="33" x14ac:dyDescent="0.3">
      <c r="A5" s="2" t="s">
        <v>25</v>
      </c>
      <c r="B5" s="2" t="s">
        <v>26</v>
      </c>
      <c r="C5" s="2" t="s">
        <v>27</v>
      </c>
      <c r="D5" s="2" t="s">
        <v>28</v>
      </c>
      <c r="E5" s="2" t="s">
        <v>11</v>
      </c>
      <c r="F5" s="2" t="s">
        <v>29</v>
      </c>
      <c r="G5" s="2" t="s">
        <v>30</v>
      </c>
    </row>
    <row r="6" spans="1:7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11</v>
      </c>
      <c r="F6" s="2" t="s">
        <v>35</v>
      </c>
      <c r="G6" s="2" t="s">
        <v>36</v>
      </c>
    </row>
    <row r="7" spans="1:7" ht="33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11</v>
      </c>
      <c r="F7" s="2" t="s">
        <v>41</v>
      </c>
      <c r="G7" s="2" t="s">
        <v>42</v>
      </c>
    </row>
    <row r="8" spans="1:7" ht="33" x14ac:dyDescent="0.3">
      <c r="A8" s="2" t="s">
        <v>43</v>
      </c>
      <c r="B8" s="2" t="s">
        <v>44</v>
      </c>
      <c r="C8" s="2" t="s">
        <v>45</v>
      </c>
      <c r="D8" s="2" t="s">
        <v>46</v>
      </c>
      <c r="E8" s="2" t="s">
        <v>11</v>
      </c>
      <c r="F8" s="2" t="s">
        <v>29</v>
      </c>
      <c r="G8" s="2" t="s">
        <v>36</v>
      </c>
    </row>
    <row r="9" spans="1:7" x14ac:dyDescent="0.3">
      <c r="A9" s="2" t="s">
        <v>47</v>
      </c>
      <c r="B9" s="2" t="s">
        <v>48</v>
      </c>
      <c r="C9" s="2" t="s">
        <v>49</v>
      </c>
      <c r="D9" s="2" t="s">
        <v>50</v>
      </c>
      <c r="E9" s="2" t="s">
        <v>11</v>
      </c>
      <c r="F9" s="2" t="s">
        <v>35</v>
      </c>
      <c r="G9" s="2" t="s">
        <v>36</v>
      </c>
    </row>
    <row r="10" spans="1:7" x14ac:dyDescent="0.3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11</v>
      </c>
      <c r="F10" s="2" t="s">
        <v>12</v>
      </c>
      <c r="G10" s="2" t="s">
        <v>55</v>
      </c>
    </row>
    <row r="11" spans="1:7" ht="33" x14ac:dyDescent="0.3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11</v>
      </c>
      <c r="F11" s="2" t="s">
        <v>60</v>
      </c>
      <c r="G11" s="2" t="s">
        <v>61</v>
      </c>
    </row>
    <row r="12" spans="1:7" ht="33" x14ac:dyDescent="0.3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11</v>
      </c>
      <c r="F12" s="2" t="s">
        <v>35</v>
      </c>
      <c r="G12" s="2" t="s">
        <v>66</v>
      </c>
    </row>
    <row r="13" spans="1:7" x14ac:dyDescent="0.3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11</v>
      </c>
      <c r="F13" s="2" t="s">
        <v>35</v>
      </c>
      <c r="G13" s="2" t="s">
        <v>71</v>
      </c>
    </row>
    <row r="14" spans="1:7" x14ac:dyDescent="0.3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11</v>
      </c>
      <c r="F14" s="2" t="s">
        <v>35</v>
      </c>
      <c r="G14" s="2" t="s">
        <v>71</v>
      </c>
    </row>
    <row r="15" spans="1:7" ht="33" x14ac:dyDescent="0.3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11</v>
      </c>
      <c r="F15" s="2" t="s">
        <v>80</v>
      </c>
      <c r="G15" s="2" t="s">
        <v>81</v>
      </c>
    </row>
    <row r="16" spans="1:7" ht="33" x14ac:dyDescent="0.3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11</v>
      </c>
      <c r="F16" s="2" t="s">
        <v>29</v>
      </c>
      <c r="G16" s="2" t="s">
        <v>36</v>
      </c>
    </row>
    <row r="17" spans="1:7" ht="33" x14ac:dyDescent="0.3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11</v>
      </c>
      <c r="F17" s="2" t="s">
        <v>60</v>
      </c>
      <c r="G17" s="2" t="s">
        <v>61</v>
      </c>
    </row>
    <row r="18" spans="1:7" ht="33" x14ac:dyDescent="0.3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11</v>
      </c>
      <c r="F18" s="2" t="s">
        <v>29</v>
      </c>
      <c r="G18" s="2" t="s">
        <v>30</v>
      </c>
    </row>
    <row r="19" spans="1:7" ht="33" x14ac:dyDescent="0.3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11</v>
      </c>
      <c r="F19" s="2" t="s">
        <v>98</v>
      </c>
      <c r="G19" s="2" t="s">
        <v>99</v>
      </c>
    </row>
    <row r="20" spans="1:7" ht="33" x14ac:dyDescent="0.3">
      <c r="A20" s="2" t="s">
        <v>100</v>
      </c>
      <c r="B20" s="2" t="s">
        <v>101</v>
      </c>
      <c r="C20" s="2" t="s">
        <v>102</v>
      </c>
      <c r="D20" s="2" t="s">
        <v>59</v>
      </c>
      <c r="E20" s="2" t="s">
        <v>11</v>
      </c>
      <c r="F20" s="2" t="s">
        <v>60</v>
      </c>
      <c r="G20" s="2" t="s">
        <v>103</v>
      </c>
    </row>
    <row r="21" spans="1:7" x14ac:dyDescent="0.3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11</v>
      </c>
      <c r="F21" s="2" t="s">
        <v>35</v>
      </c>
      <c r="G21" s="2" t="s">
        <v>71</v>
      </c>
    </row>
    <row r="22" spans="1:7" ht="33" x14ac:dyDescent="0.3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</v>
      </c>
      <c r="F22" s="2" t="s">
        <v>112</v>
      </c>
      <c r="G22" s="2" t="s">
        <v>113</v>
      </c>
    </row>
    <row r="23" spans="1:7" ht="33" x14ac:dyDescent="0.3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</v>
      </c>
      <c r="F23" s="2" t="s">
        <v>29</v>
      </c>
      <c r="G23" s="2" t="s">
        <v>118</v>
      </c>
    </row>
  </sheetData>
  <autoFilter ref="A1:G23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4" customWidth="1"/>
    <col min="2" max="2" width="48" customWidth="1"/>
    <col min="3" max="3" width="44" customWidth="1"/>
  </cols>
  <sheetData>
    <row r="1" spans="1:3" x14ac:dyDescent="0.3">
      <c r="A1" s="1" t="s">
        <v>5</v>
      </c>
      <c r="B1" s="1" t="s">
        <v>4</v>
      </c>
      <c r="C1" s="1" t="s">
        <v>149</v>
      </c>
    </row>
    <row r="2" spans="1:3" ht="33" x14ac:dyDescent="0.3">
      <c r="A2" s="2" t="s">
        <v>112</v>
      </c>
      <c r="B2" s="2" t="s">
        <v>11</v>
      </c>
      <c r="C2" s="2">
        <v>1</v>
      </c>
    </row>
    <row r="3" spans="1:3" x14ac:dyDescent="0.3">
      <c r="A3" s="2" t="s">
        <v>35</v>
      </c>
      <c r="B3" s="2" t="s">
        <v>11</v>
      </c>
      <c r="C3" s="2">
        <v>6</v>
      </c>
    </row>
    <row r="4" spans="1:3" x14ac:dyDescent="0.3">
      <c r="A4" s="2" t="s">
        <v>23</v>
      </c>
      <c r="B4" s="2" t="s">
        <v>11</v>
      </c>
      <c r="C4" s="2">
        <v>1</v>
      </c>
    </row>
    <row r="5" spans="1:3" x14ac:dyDescent="0.3">
      <c r="A5" s="2" t="s">
        <v>130</v>
      </c>
      <c r="B5" s="2" t="s">
        <v>129</v>
      </c>
      <c r="C5" s="2">
        <v>1</v>
      </c>
    </row>
    <row r="6" spans="1:3" ht="33" x14ac:dyDescent="0.3">
      <c r="A6" s="2" t="s">
        <v>41</v>
      </c>
      <c r="B6" s="2" t="s">
        <v>11</v>
      </c>
      <c r="C6" s="2">
        <v>1</v>
      </c>
    </row>
    <row r="7" spans="1:3" x14ac:dyDescent="0.3">
      <c r="A7" s="2" t="s">
        <v>147</v>
      </c>
      <c r="B7" s="2" t="s">
        <v>146</v>
      </c>
      <c r="C7" s="2">
        <v>1</v>
      </c>
    </row>
    <row r="8" spans="1:3" x14ac:dyDescent="0.3">
      <c r="A8" s="2" t="s">
        <v>12</v>
      </c>
      <c r="B8" s="2" t="s">
        <v>129</v>
      </c>
      <c r="C8" s="2">
        <v>2</v>
      </c>
    </row>
    <row r="9" spans="1:3" x14ac:dyDescent="0.3">
      <c r="A9" s="2" t="s">
        <v>12</v>
      </c>
      <c r="B9" s="2" t="s">
        <v>11</v>
      </c>
      <c r="C9" s="2">
        <v>3</v>
      </c>
    </row>
    <row r="10" spans="1:3" x14ac:dyDescent="0.3">
      <c r="A10" s="2" t="s">
        <v>12</v>
      </c>
      <c r="B10" s="2" t="s">
        <v>123</v>
      </c>
      <c r="C10" s="2">
        <v>1</v>
      </c>
    </row>
    <row r="11" spans="1:3" ht="33" x14ac:dyDescent="0.3">
      <c r="A11" s="2" t="s">
        <v>29</v>
      </c>
      <c r="B11" s="2" t="s">
        <v>11</v>
      </c>
      <c r="C11" s="2">
        <v>5</v>
      </c>
    </row>
    <row r="12" spans="1:3" ht="33" x14ac:dyDescent="0.3">
      <c r="A12" s="2" t="s">
        <v>60</v>
      </c>
      <c r="B12" s="2" t="s">
        <v>11</v>
      </c>
      <c r="C12" s="2">
        <v>3</v>
      </c>
    </row>
    <row r="13" spans="1:3" x14ac:dyDescent="0.3">
      <c r="A13" s="2" t="s">
        <v>80</v>
      </c>
      <c r="B13" s="2" t="s">
        <v>11</v>
      </c>
      <c r="C13" s="2">
        <v>1</v>
      </c>
    </row>
    <row r="14" spans="1:3" ht="33" x14ac:dyDescent="0.3">
      <c r="A14" s="2" t="s">
        <v>98</v>
      </c>
      <c r="B14" s="2" t="s">
        <v>11</v>
      </c>
      <c r="C14" s="2">
        <v>1</v>
      </c>
    </row>
  </sheetData>
  <autoFilter ref="A1:C14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데이터명_출처</vt:lpstr>
      <vt:lpstr>분석사용데이터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YJP</cp:lastModifiedBy>
  <dcterms:created xsi:type="dcterms:W3CDTF">2026-05-13T08:57:44Z</dcterms:created>
  <dcterms:modified xsi:type="dcterms:W3CDTF">2026-05-13T09:09:33Z</dcterms:modified>
</cp:coreProperties>
</file>